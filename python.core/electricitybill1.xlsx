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bookViews>
    <workbookView xWindow="0" yWindow="0" windowWidth="15360" windowHeight="7650"/>
  </bookViews>
  <sheets>
    <sheet name="tneb1" sheetId="1" r:id="rId1"/>
    <sheet name="tneb2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8" i="1" l="1"/>
  <c r="A14" i="1"/>
  <c r="A15" i="1"/>
  <c r="A16" i="1"/>
  <c r="A17" i="1"/>
  <c r="A13" i="1"/>
  <c r="F8" i="1"/>
  <c r="A5" i="2" s="1"/>
  <c r="A8" i="1"/>
  <c r="A7" i="1"/>
  <c r="A6" i="1"/>
  <c r="B2" i="2" l="1"/>
  <c r="B7" i="2"/>
  <c r="E17" i="1" s="1"/>
  <c r="C7" i="2" s="1"/>
  <c r="A2" i="2"/>
  <c r="E12" i="1" s="1"/>
  <c r="B8" i="2"/>
  <c r="E18" i="1" s="1"/>
  <c r="C8" i="2" s="1"/>
  <c r="A4" i="2"/>
  <c r="B5" i="2"/>
  <c r="E15" i="1" s="1"/>
  <c r="A3" i="2"/>
  <c r="B6" i="2"/>
  <c r="E16" i="1" s="1"/>
  <c r="C6" i="2" s="1"/>
  <c r="B3" i="2"/>
  <c r="F17" i="1"/>
  <c r="G17" i="1" s="1"/>
  <c r="B18" i="1"/>
  <c r="B4" i="2"/>
  <c r="E13" i="1" l="1"/>
  <c r="A9" i="2"/>
  <c r="E14" i="1"/>
  <c r="E19" i="1" s="1"/>
  <c r="F16" i="1"/>
  <c r="G16" i="1" s="1"/>
  <c r="F12" i="1"/>
  <c r="B9" i="2"/>
  <c r="F13" i="1"/>
  <c r="G13" i="1" s="1"/>
  <c r="F15" i="1"/>
  <c r="G15" i="1" s="1"/>
  <c r="F18" i="1"/>
  <c r="G18" i="1" s="1"/>
  <c r="C5" i="2"/>
  <c r="C3" i="2"/>
  <c r="C2" i="2"/>
  <c r="F14" i="1"/>
  <c r="G12" i="1" l="1"/>
  <c r="C4" i="2"/>
  <c r="C9" i="2" s="1"/>
  <c r="G14" i="1"/>
  <c r="G19" i="1" l="1"/>
</calcChain>
</file>

<file path=xl/sharedStrings.xml><?xml version="1.0" encoding="utf-8"?>
<sst xmlns="http://schemas.openxmlformats.org/spreadsheetml/2006/main" count="19" uniqueCount="14">
  <si>
    <t>Tamil Nadu Electricity Bill Charge Info</t>
  </si>
  <si>
    <t>Consuption Unit Upto 500 Units</t>
  </si>
  <si>
    <t>Units From</t>
  </si>
  <si>
    <t>To Units</t>
  </si>
  <si>
    <t>Per Unit Cost</t>
  </si>
  <si>
    <t>Previou Reading</t>
  </si>
  <si>
    <t>Current Reading</t>
  </si>
  <si>
    <t>Net Reading</t>
  </si>
  <si>
    <t>Consumption Above 500 Units</t>
  </si>
  <si>
    <t>Consume Units Range</t>
  </si>
  <si>
    <t>Consume Units Range &lt;=500</t>
  </si>
  <si>
    <t>Consume Units &gt;500</t>
  </si>
  <si>
    <t>Consume Units Cost</t>
  </si>
  <si>
    <t>Net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</si>
</sst>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nrb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nrb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topLeftCell="C1" workbookViewId="0">
      <selection activeCell="F7" sqref="F7"/>
    </sheetView>
  </sheetViews>
  <sheetFormatPr defaultRowHeight="15" x14ac:dyDescent="0.25"/>
  <cols>
    <col min="1" max="2" width="34.42578125" customWidth="1"/>
    <col min="3" max="3" width="16.28515625" customWidth="1"/>
    <col min="5" max="5" width="37.140625" customWidth="1"/>
    <col min="6" max="6" width="36.5703125" customWidth="1"/>
    <col min="7" max="7" width="27.7109375" customWidth="1"/>
  </cols>
  <sheetData>
    <row r="1" spans="1:7" x14ac:dyDescent="0.25">
      <c r="A1" t="s">
        <v>0</v>
      </c>
    </row>
    <row r="3" spans="1:7" x14ac:dyDescent="0.25">
      <c r="A3" t="s">
        <v>1</v>
      </c>
    </row>
    <row r="4" spans="1:7" x14ac:dyDescent="0.25">
      <c r="A4" s="1" t="s">
        <v>2</v>
      </c>
      <c r="B4" s="1" t="s">
        <v>3</v>
      </c>
      <c r="C4" s="1" t="s">
        <v>4</v>
      </c>
      <c r="E4" s="1" t="s">
        <v>5</v>
      </c>
      <c r="F4">
        <v>0</v>
      </c>
    </row>
    <row r="5" spans="1:7" x14ac:dyDescent="0.25">
      <c r="A5">
        <v>1</v>
      </c>
      <c r="B5">
        <v>100</v>
      </c>
      <c r="C5">
        <v>0</v>
      </c>
    </row>
    <row r="6" spans="1:7" x14ac:dyDescent="0.25">
      <c r="A6">
        <f>B5+1</f>
        <v>101</v>
      </c>
      <c r="B6">
        <v>200</v>
      </c>
      <c r="C6">
        <v>2.25</v>
      </c>
      <c r="E6" s="1" t="s">
        <v>6</v>
      </c>
      <c r="F6">
        <v>1050</v>
      </c>
    </row>
    <row r="7" spans="1:7" x14ac:dyDescent="0.25">
      <c r="A7">
        <f>B6+1</f>
        <v>201</v>
      </c>
      <c r="B7">
        <v>400</v>
      </c>
      <c r="C7">
        <v>4.5</v>
      </c>
    </row>
    <row r="8" spans="1:7" x14ac:dyDescent="0.25">
      <c r="A8">
        <f>B7+1</f>
        <v>401</v>
      </c>
      <c r="B8">
        <v>500</v>
      </c>
      <c r="C8">
        <v>6</v>
      </c>
      <c r="E8" s="1" t="s">
        <v>7</v>
      </c>
      <c r="F8">
        <f>F6-F4</f>
        <v>1050</v>
      </c>
    </row>
    <row r="10" spans="1:7" x14ac:dyDescent="0.25">
      <c r="A10" t="s">
        <v>8</v>
      </c>
    </row>
    <row r="11" spans="1:7" x14ac:dyDescent="0.25">
      <c r="A11" t="s">
        <v>2</v>
      </c>
      <c r="B11" t="s">
        <v>3</v>
      </c>
      <c r="C11" t="s">
        <v>4</v>
      </c>
      <c r="E11" t="s">
        <v>9</v>
      </c>
      <c r="F11" t="s">
        <v>4</v>
      </c>
      <c r="G11" t="s">
        <v>12</v>
      </c>
    </row>
    <row r="12" spans="1:7" x14ac:dyDescent="0.25">
      <c r="A12">
        <v>1</v>
      </c>
      <c r="B12">
        <v>100</v>
      </c>
      <c r="C12">
        <v>0</v>
      </c>
      <c r="E12">
        <f>IF(tneb2!A2&lt;&gt;"",tneb2!A2,IF(tneb2!B2&lt;&gt;"",tneb2!B2,""))</f>
        <v>100</v>
      </c>
      <c r="F12">
        <f>IF(tneb2!A2&lt;&gt;"",C5,IF(tneb2!B2&lt;&gt;"",C12,""))</f>
        <v>0</v>
      </c>
      <c r="G12">
        <f>IFERROR(E12*F12,"")</f>
        <v>0</v>
      </c>
    </row>
    <row r="13" spans="1:7" x14ac:dyDescent="0.25">
      <c r="A13">
        <f>B12+1</f>
        <v>101</v>
      </c>
      <c r="B13">
        <v>400</v>
      </c>
      <c r="C13">
        <v>4.5</v>
      </c>
      <c r="E13">
        <f>IF(tneb2!A3&lt;&gt;"",tneb2!A3,IF(tneb2!B3&lt;&gt;"",tneb2!B3,""))</f>
        <v>300</v>
      </c>
      <c r="F13">
        <f>IF(tneb2!A3&lt;&gt;"",C6,IF(tneb2!B3&lt;&gt;"",C13,""))</f>
        <v>4.5</v>
      </c>
      <c r="G13">
        <f>IFERROR(E13*F13,"")</f>
        <v>1350</v>
      </c>
    </row>
    <row r="14" spans="1:7" x14ac:dyDescent="0.25">
      <c r="A14">
        <f t="shared" ref="A14:A17" si="0">B13+1</f>
        <v>401</v>
      </c>
      <c r="B14">
        <v>500</v>
      </c>
      <c r="C14">
        <v>6</v>
      </c>
      <c r="E14">
        <f>IF(tneb2!A4&lt;&gt;"",tneb2!A4,IF(tneb2!B4&lt;&gt;"",tneb2!B4,""))</f>
        <v>100</v>
      </c>
      <c r="F14">
        <f>IF(tneb2!A4&lt;&gt;"",C7,IF(tneb2!B4&lt;&gt;"",C14,""))</f>
        <v>6</v>
      </c>
      <c r="G14">
        <f t="shared" ref="G13:G18" si="1">IFERROR(E14*F14,"")</f>
        <v>600</v>
      </c>
    </row>
    <row r="15" spans="1:7" x14ac:dyDescent="0.25">
      <c r="A15">
        <f t="shared" si="0"/>
        <v>501</v>
      </c>
      <c r="B15">
        <v>600</v>
      </c>
      <c r="C15">
        <v>8</v>
      </c>
      <c r="E15">
        <f>IF(tneb2!A5&lt;&gt;"",tneb2!A5,IF(tneb2!B5&lt;&gt;"",tneb2!B5,""))</f>
        <v>100</v>
      </c>
      <c r="F15">
        <f>IF(tneb2!A5&lt;&gt;"",C8,IF(tneb2!B5&lt;&gt;"",C15,""))</f>
        <v>8</v>
      </c>
      <c r="G15">
        <f t="shared" si="1"/>
        <v>800</v>
      </c>
    </row>
    <row r="16" spans="1:7" x14ac:dyDescent="0.25">
      <c r="A16">
        <f t="shared" si="0"/>
        <v>601</v>
      </c>
      <c r="B16">
        <v>800</v>
      </c>
      <c r="C16">
        <v>9</v>
      </c>
      <c r="E16">
        <f>IF(tneb2!A6&lt;&gt;"",[1]tnrb2!A6,IF(tneb2!B6&lt;&gt;"",tneb2!B6,""))</f>
        <v>200</v>
      </c>
      <c r="F16">
        <f>IF(tneb2!A6&lt;&gt;"",C9,IF(tneb2!B6&lt;&gt;"",C16,""))</f>
        <v>9</v>
      </c>
      <c r="G16">
        <f t="shared" si="1"/>
        <v>1800</v>
      </c>
    </row>
    <row r="17" spans="1:7" x14ac:dyDescent="0.25">
      <c r="A17">
        <f t="shared" si="0"/>
        <v>801</v>
      </c>
      <c r="B17">
        <v>1000</v>
      </c>
      <c r="C17">
        <v>10</v>
      </c>
      <c r="E17">
        <f>IF(tneb2!A7&lt;&gt;"",tneb2!A7,IF(tneb2!B7&lt;&gt;"",tneb2!B7,""))</f>
        <v>200</v>
      </c>
      <c r="F17">
        <f>IF(tneb2!A7&lt;&gt;"",C10,IF(tneb2!B7&lt;&gt;"",C17,""))</f>
        <v>10</v>
      </c>
      <c r="G17">
        <f t="shared" si="1"/>
        <v>2000</v>
      </c>
    </row>
    <row r="18" spans="1:7" x14ac:dyDescent="0.25">
      <c r="A18">
        <f>B17+1</f>
        <v>1001</v>
      </c>
      <c r="B18">
        <f>IF(F8&gt;=1001,F8,"…")</f>
        <v>1050</v>
      </c>
      <c r="C18">
        <v>11</v>
      </c>
      <c r="E18">
        <f>IF(tneb2!A8&lt;&gt;"",tneb2!A8,IF(tneb2!B8&lt;&gt;"",tneb2!B8,""))</f>
        <v>50</v>
      </c>
      <c r="F18">
        <f>IF(tneb2!A8&lt;&gt;"",C11,IF(tneb2!B8&lt;&gt;"",C18,""))</f>
        <v>11</v>
      </c>
      <c r="G18">
        <f t="shared" si="1"/>
        <v>550</v>
      </c>
    </row>
    <row r="19" spans="1:7" x14ac:dyDescent="0.25">
      <c r="E19">
        <f>IF(SUM(E12:E18)&gt;0,SUM(E12:E18),"")</f>
        <v>1050</v>
      </c>
      <c r="F19" t="s">
        <v>13</v>
      </c>
      <c r="G19">
        <f>SUM(G12:G18)</f>
        <v>7100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1" sqref="B1"/>
    </sheetView>
  </sheetViews>
  <sheetFormatPr defaultRowHeight="15" x14ac:dyDescent="0.25"/>
  <cols>
    <col min="1" max="1" width="64.7109375" customWidth="1"/>
    <col min="2" max="2" width="37.140625" customWidth="1"/>
    <col min="3" max="3" width="27.85546875" customWidth="1"/>
  </cols>
  <sheetData>
    <row r="1" spans="1:3" x14ac:dyDescent="0.25">
      <c r="A1" t="s">
        <v>10</v>
      </c>
      <c r="B1" t="s">
        <v>11</v>
      </c>
      <c r="C1" t="s">
        <v>9</v>
      </c>
    </row>
    <row r="2" spans="1:3" x14ac:dyDescent="0.25">
      <c r="A2" t="str">
        <f>IF(tneb1!F8&lt;=500,IF(tneb1!F8&gt;100,100,IF(tneb1!F8&gt;0,tneb1!F8,"")),"")</f>
        <v/>
      </c>
      <c r="B2">
        <f>IF(tneb1!F8&lt;=500,"",IF(tneb1!F8&gt;100,100,IF(tneb1!F8&gt;0,tneb1!F8,"")))</f>
        <v>100</v>
      </c>
      <c r="C2">
        <f>tneb1!E12</f>
        <v>100</v>
      </c>
    </row>
    <row r="3" spans="1:3" x14ac:dyDescent="0.25">
      <c r="A3" t="str">
        <f>IF(tneb1!F8&lt;=500,IF(tneb1!F8&gt;200,100,IF(tneb1!F8&gt;100,tneb1!F8-100,"")),"")</f>
        <v/>
      </c>
      <c r="B3">
        <f>IF(tneb1!F8&lt;=500,"",IF(tneb1!F8&gt;400,300,IF(tneb1!F8&gt;100,tneb1!F8-100,"")))</f>
        <v>300</v>
      </c>
      <c r="C3">
        <f>tneb1!E13</f>
        <v>300</v>
      </c>
    </row>
    <row r="4" spans="1:3" x14ac:dyDescent="0.25">
      <c r="A4" t="str">
        <f>IF(tneb1!F8&lt;=500,IF(tneb1!F8&gt;400,200,IF(tneb1!F8&gt;200,tneb1!F8-200,"")),"")</f>
        <v/>
      </c>
      <c r="B4">
        <f>IF(tneb1!F8&lt;=500,"",IF(tneb1!F8&gt;500,100,IF(tneb1!F8&gt;400,tneb1!F8-400,"")))</f>
        <v>100</v>
      </c>
      <c r="C4">
        <f>tneb1!E14</f>
        <v>100</v>
      </c>
    </row>
    <row r="5" spans="1:3" x14ac:dyDescent="0.25">
      <c r="A5" t="str">
        <f>IF(tneb1!F8&lt;=500,IF(tneb1!F8&gt;400,tneb1!F8-400,""),"")</f>
        <v/>
      </c>
      <c r="B5">
        <f>IF(tneb1!F8&lt;=500,"",IF(tneb1!F8&gt;600,100,IF(tneb1!F8&gt;500,tneb1!F8-500,"")))</f>
        <v>100</v>
      </c>
      <c r="C5">
        <f>tneb1!E15</f>
        <v>100</v>
      </c>
    </row>
    <row r="6" spans="1:3" x14ac:dyDescent="0.25">
      <c r="B6">
        <f>IF(tneb1!F8&lt;=500,"",IF(tneb1!F8&gt;800,200,IF(tneb1!F8&gt;600,tneb1!F8-600,"")))</f>
        <v>200</v>
      </c>
      <c r="C6">
        <f>tneb1!E16</f>
        <v>200</v>
      </c>
    </row>
    <row r="7" spans="1:3" x14ac:dyDescent="0.25">
      <c r="B7">
        <f>IF(tneb1!F8&lt;=500,"",IF(tneb1!F8&gt;1000,200,IF(tneb1!F8&gt;800,tneb1!F8-800,"")))</f>
        <v>200</v>
      </c>
      <c r="C7">
        <f>tneb1!E17</f>
        <v>200</v>
      </c>
    </row>
    <row r="8" spans="1:3" x14ac:dyDescent="0.25">
      <c r="B8">
        <f>IF(tneb1!F8&lt;=500,"",IF(tneb1!F8&gt;1000,tneb1!F8-1000,""))</f>
        <v>50</v>
      </c>
      <c r="C8">
        <f>tneb1!E18</f>
        <v>50</v>
      </c>
    </row>
    <row r="9" spans="1:3" x14ac:dyDescent="0.25">
      <c r="A9" t="str">
        <f>IF(SUM(A2:A8)&gt;0,SUM(A2:A8),"")</f>
        <v/>
      </c>
      <c r="B9">
        <f>IF(SUM(B2:B8)&gt;0,SUM(B2:B8),"")</f>
        <v>1050</v>
      </c>
      <c r="C9">
        <f>IF(SUM(C2:C8)&gt;0,SUM(C2:C8),"")</f>
        <v>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tneb1</vt:lpstr>
      <vt:lpstr>tneb2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2026-02-27T08:14:26Z</dcterms:created>
  <dcterms:modified xsi:type="dcterms:W3CDTF">2026-02-27T09:52:43Z</dcterms:modified>
</cp:coreProperties>
</file>